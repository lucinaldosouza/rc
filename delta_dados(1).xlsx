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investimento_liquido" sheetId="1" r:id="rId4"/>
  </sheets>
  <definedNames/>
  <calcPr/>
  <extLst>
    <ext uri="GoogleSheetsCustomDataVersion2">
      <go:sheetsCustomData xmlns:go="http://customooxmlschemas.google.com/" r:id="rId5" roundtripDataChecksum="ZHhsE6/pMQl6z1bUstiNp+h6By/CwEX7gddkFY3mW2E="/>
    </ext>
  </extLst>
</workbook>
</file>

<file path=xl/sharedStrings.xml><?xml version="1.0" encoding="utf-8"?>
<sst xmlns="http://schemas.openxmlformats.org/spreadsheetml/2006/main" count="24" uniqueCount="18">
  <si>
    <t>investimento líquido (em R$ milhões de 2010)</t>
  </si>
  <si>
    <t>Capital fixo - depreciação (total - R$ milhões de 2024)</t>
  </si>
  <si>
    <t>Capital fixo - investimento bruto (total - R$ milhões de 2024)</t>
  </si>
  <si>
    <t>ano</t>
  </si>
  <si>
    <t>residencial</t>
  </si>
  <si>
    <t>Infraestrutura</t>
  </si>
  <si>
    <t>demais estruturas</t>
  </si>
  <si>
    <t>maqui e equip</t>
  </si>
  <si>
    <t>outros</t>
  </si>
  <si>
    <t>total</t>
  </si>
  <si>
    <t>estoque de capital (em R$ milhões de 2010)</t>
  </si>
  <si>
    <t>infraestrutura</t>
  </si>
  <si>
    <t>maquinas e equip</t>
  </si>
  <si>
    <t>#VALUE!</t>
  </si>
  <si>
    <t>PIB - FBCF (R$ milhões de 2010)</t>
  </si>
  <si>
    <t>Depreciação (R$ milhões de 2010)</t>
  </si>
  <si>
    <t>Relação capital-produto</t>
  </si>
  <si>
    <t>Estoque líquido de capital fixo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</si>
</sst>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7.0"/>
      <color rgb="FF000000"/>
      <name val="Verdana"/>
    </font>
    <font>
      <sz val="11.0"/>
      <color theme="1"/>
      <name val="Aptos Narrow"/>
    </font>
    <font/>
  </fonts>
  <fills count="6">
    <fill>
      <patternFill patternType="none"/>
    </fill>
    <fill>
      <patternFill patternType="lightGray"/>
    </fill>
    <fill>
      <patternFill patternType="solid">
        <fgColor rgb="FFDCE8F1"/>
        <bgColor rgb="FFDCE8F1"/>
      </patternFill>
    </fill>
    <fill>
      <patternFill patternType="solid">
        <fgColor rgb="FFACC6DF"/>
        <bgColor rgb="FFACC6DF"/>
      </patternFill>
    </fill>
    <fill>
      <patternFill patternType="solid">
        <fgColor rgb="FFF2F2F2"/>
        <bgColor rgb="FFF2F2F2"/>
      </patternFill>
    </fill>
    <fill>
      <patternFill patternType="solid">
        <fgColor rgb="FF91AAB1"/>
        <bgColor rgb="FF91AAB1"/>
      </patternFill>
    </fill>
  </fills>
  <borders count="11">
    <border/>
    <border>
      <left style="medium">
        <color rgb="FF9F9F9F"/>
      </left>
      <right style="medium">
        <color rgb="FFCFCFCF"/>
      </right>
      <top style="medium">
        <color rgb="FF9F9F9F"/>
      </top>
      <bottom style="medium">
        <color rgb="FFCFCFCF"/>
      </bottom>
    </border>
    <border>
      <left/>
      <right style="medium">
        <color rgb="FF9F9F9F"/>
      </right>
      <top style="medium">
        <color rgb="FF9F9F9F"/>
      </top>
      <bottom style="medium">
        <color rgb="FFCFCFCF"/>
      </bottom>
    </border>
    <border>
      <left/>
      <right style="medium">
        <color rgb="FFCFCFCF"/>
      </right>
      <top/>
      <bottom style="medium">
        <color rgb="FFCFCFCF"/>
      </bottom>
    </border>
    <border>
      <left/>
      <right/>
      <top/>
      <bottom style="medium">
        <color rgb="FFCFCFCF"/>
      </bottom>
    </border>
    <border>
      <left style="medium">
        <color rgb="FF9F9F9F"/>
      </left>
      <right style="medium">
        <color rgb="FFCFCFCF"/>
      </right>
      <top/>
      <bottom style="medium">
        <color rgb="FFCFCFCF"/>
      </bottom>
    </border>
    <border>
      <left/>
      <right style="medium">
        <color rgb="FF9F9F9F"/>
      </right>
      <top/>
      <bottom style="medium">
        <color rgb="FFCFCFCF"/>
      </bottom>
    </border>
    <border>
      <left style="medium">
        <color rgb="FF9F9F9F"/>
      </left>
      <right style="medium">
        <color rgb="FFCFCFCF"/>
      </right>
      <top/>
      <bottom/>
    </border>
    <border>
      <left/>
      <right style="medium">
        <color rgb="FF9F9F9F"/>
      </right>
      <top/>
      <bottom/>
    </border>
    <border>
      <left style="medium">
        <color rgb="FF9F9F9F"/>
      </left>
      <top/>
      <bottom style="medium">
        <color rgb="FF9F9F9F"/>
      </bottom>
    </border>
    <border>
      <right style="medium">
        <color rgb="FF9F9F9F"/>
      </right>
      <top/>
      <bottom style="medium">
        <color rgb="FF9F9F9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2" fillId="2" fontId="3" numFmtId="4" xfId="0" applyAlignment="1" applyBorder="1" applyFont="1" applyNumberFormat="1">
      <alignment horizontal="right" shrinkToFit="0" vertical="center" wrapText="1"/>
    </xf>
    <xf borderId="3" fillId="3" fontId="3" numFmtId="0" xfId="0" applyAlignment="1" applyBorder="1" applyFill="1" applyFont="1">
      <alignment horizontal="left" shrinkToFit="0" vertical="center" wrapText="1"/>
    </xf>
    <xf borderId="4" fillId="3" fontId="3" numFmtId="4" xfId="0" applyAlignment="1" applyBorder="1" applyFont="1" applyNumberFormat="1">
      <alignment horizontal="right" shrinkToFit="0" vertical="center" wrapText="1"/>
    </xf>
    <xf borderId="0" fillId="0" fontId="4" numFmtId="4" xfId="0" applyFont="1" applyNumberFormat="1"/>
    <xf borderId="0" fillId="0" fontId="4" numFmtId="0" xfId="0" applyFont="1"/>
    <xf borderId="5" fillId="3" fontId="3" numFmtId="0" xfId="0" applyAlignment="1" applyBorder="1" applyFont="1">
      <alignment horizontal="left" shrinkToFit="0" vertical="center" wrapText="1"/>
    </xf>
    <xf borderId="6" fillId="3" fontId="3" numFmtId="4" xfId="0" applyAlignment="1" applyBorder="1" applyFont="1" applyNumberFormat="1">
      <alignment horizontal="righ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2" fontId="3" numFmtId="4" xfId="0" applyAlignment="1" applyBorder="1" applyFont="1" applyNumberFormat="1">
      <alignment horizontal="right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6" fillId="2" fontId="3" numFmtId="4" xfId="0" applyAlignment="1" applyBorder="1" applyFont="1" applyNumberFormat="1">
      <alignment horizontal="right" shrinkToFit="0" vertical="center" wrapText="1"/>
    </xf>
    <xf borderId="7" fillId="3" fontId="3" numFmtId="0" xfId="0" applyAlignment="1" applyBorder="1" applyFont="1">
      <alignment horizontal="left" shrinkToFit="0" vertical="center" wrapText="1"/>
    </xf>
    <xf borderId="8" fillId="3" fontId="3" numFmtId="4" xfId="0" applyAlignment="1" applyBorder="1" applyFont="1" applyNumberFormat="1">
      <alignment horizontal="right" shrinkToFit="0" vertical="center" wrapText="1"/>
    </xf>
    <xf borderId="9" fillId="4" fontId="3" numFmtId="0" xfId="0" applyAlignment="1" applyBorder="1" applyFill="1" applyFont="1">
      <alignment shrinkToFit="0" vertical="center" wrapText="1"/>
    </xf>
    <xf borderId="10" fillId="0" fontId="5" numFmtId="0" xfId="0" applyBorder="1" applyFont="1"/>
    <xf borderId="3" fillId="5" fontId="3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ont="1">
      <alignment horizontal="right" shrinkToFit="0" vertical="center" wrapText="1"/>
    </xf>
    <xf borderId="4" fillId="2" fontId="3" numFmtId="0" xfId="0" applyAlignment="1" applyBorder="1" applyFont="1">
      <alignment horizontal="right" shrinkToFit="0" vertical="center" wrapText="1"/>
    </xf>
    <xf borderId="4" fillId="3" fontId="3" numFmtId="0" xfId="0" applyAlignment="1" applyBorder="1" applyFont="1">
      <alignment horizontal="right" shrinkToFit="0" vertical="center" wrapText="1"/>
    </xf>
    <xf borderId="7" fillId="2" fontId="3" numFmtId="0" xfId="0" applyAlignment="1" applyBorder="1" applyFont="1">
      <alignment horizontal="left" shrinkToFit="0" vertical="center" wrapText="1"/>
    </xf>
    <xf borderId="8" fillId="2" fontId="3" numFmtId="4" xfId="0" applyAlignment="1" applyBorder="1" applyFont="1" applyNumberFormat="1">
      <alignment horizontal="right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79</xdr:row>
      <xdr:rowOff>0</xdr:rowOff>
    </xdr:from>
    <xdr:ext cx="0" cy="0"/>
    <xdr:pic>
      <xdr:nvPicPr>
        <xdr:cNvPr descr="|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79</xdr:row>
      <xdr:rowOff>0</xdr:rowOff>
    </xdr:from>
    <xdr:ext cx="0" cy="0"/>
    <xdr:pic>
      <xdr:nvPicPr>
        <xdr:cNvPr descr="|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0" cy="0"/>
    <xdr:pic>
      <xdr:nvPicPr>
        <xdr:cNvPr descr="|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35</xdr:row>
      <xdr:rowOff>0</xdr:rowOff>
    </xdr:from>
    <xdr:ext cx="0" cy="0"/>
    <xdr:pic>
      <xdr:nvPicPr>
        <xdr:cNvPr descr="|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1.25"/>
    <col customWidth="1" min="7" max="11" width="8.63"/>
    <col customWidth="1" min="12" max="12" width="9.88"/>
    <col customWidth="1" min="13" max="14" width="8.63"/>
    <col customWidth="1" min="15" max="15" width="9.88"/>
    <col customWidth="1" min="16" max="17" width="8.63"/>
    <col customWidth="1" min="18" max="18" width="10.13"/>
    <col customWidth="1" min="19" max="26" width="8.63"/>
  </cols>
  <sheetData>
    <row r="1" ht="14.25" customHeight="1">
      <c r="A1" s="1" t="s">
        <v>0</v>
      </c>
      <c r="K1" s="2" t="s">
        <v>1</v>
      </c>
      <c r="N1" s="2" t="s">
        <v>2</v>
      </c>
    </row>
    <row r="2" ht="14.2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K2" s="3">
        <v>1991.0</v>
      </c>
      <c r="L2" s="4">
        <v>646657.56</v>
      </c>
      <c r="N2" s="5">
        <v>1991.0</v>
      </c>
      <c r="O2" s="6">
        <v>921175.03</v>
      </c>
      <c r="P2" s="2">
        <f>I57/O2</f>
        <v>0.3542484212</v>
      </c>
      <c r="R2" s="7"/>
    </row>
    <row r="3" ht="14.25" customHeight="1">
      <c r="A3" s="2">
        <v>1999.0</v>
      </c>
      <c r="B3" s="8">
        <v>73649.992180563</v>
      </c>
      <c r="C3" s="2">
        <v>6632.90469160294</v>
      </c>
      <c r="D3" s="2">
        <v>53475.2980229868</v>
      </c>
      <c r="E3" s="8">
        <v>4545.86736495711</v>
      </c>
      <c r="F3" s="2">
        <v>-555.779433510411</v>
      </c>
      <c r="G3" s="2">
        <f t="shared" ref="G3:G25" si="1">SUM(B3:F3)</f>
        <v>137748.2828</v>
      </c>
      <c r="H3" s="2">
        <f t="shared" ref="H3:H25" si="2">G3/G29</f>
        <v>0.01972094648</v>
      </c>
      <c r="K3" s="9">
        <v>1992.0</v>
      </c>
      <c r="L3" s="10">
        <v>651318.23</v>
      </c>
      <c r="N3" s="11">
        <v>1992.0</v>
      </c>
      <c r="O3" s="12">
        <v>862727.89</v>
      </c>
      <c r="R3" s="7"/>
    </row>
    <row r="4" ht="14.25" customHeight="1">
      <c r="A4" s="2">
        <v>2000.0</v>
      </c>
      <c r="B4" s="8">
        <v>47214.1860430493</v>
      </c>
      <c r="C4" s="2">
        <v>15444.8400707741</v>
      </c>
      <c r="D4" s="8">
        <v>41648.7531719938</v>
      </c>
      <c r="E4" s="8">
        <v>20546.4868692417</v>
      </c>
      <c r="F4" s="2">
        <v>34460.0690468804</v>
      </c>
      <c r="G4" s="2">
        <f t="shared" si="1"/>
        <v>159314.3352</v>
      </c>
      <c r="H4" s="2">
        <f t="shared" si="2"/>
        <v>0.02226677428</v>
      </c>
      <c r="K4" s="13">
        <v>1993.0</v>
      </c>
      <c r="L4" s="14">
        <v>658201.25</v>
      </c>
      <c r="N4" s="5">
        <v>1993.0</v>
      </c>
      <c r="O4" s="6">
        <v>913889.86</v>
      </c>
      <c r="R4" s="7"/>
    </row>
    <row r="5" ht="14.25" customHeight="1">
      <c r="A5" s="2">
        <v>2001.0</v>
      </c>
      <c r="B5" s="8">
        <v>41880.6462082878</v>
      </c>
      <c r="C5" s="2">
        <v>17763.7704337139</v>
      </c>
      <c r="D5" s="8">
        <v>39561.715845348</v>
      </c>
      <c r="E5" s="8">
        <v>21937.8450870055</v>
      </c>
      <c r="F5" s="2">
        <v>29358.4222484129</v>
      </c>
      <c r="G5" s="2">
        <f t="shared" si="1"/>
        <v>150502.3998</v>
      </c>
      <c r="H5" s="2">
        <f t="shared" si="2"/>
        <v>0.02059145697</v>
      </c>
      <c r="K5" s="9">
        <v>1994.0</v>
      </c>
      <c r="L5" s="10">
        <v>671205.4</v>
      </c>
      <c r="N5" s="11">
        <v>1994.0</v>
      </c>
      <c r="O5" s="12">
        <v>1035803.35</v>
      </c>
      <c r="R5" s="7"/>
    </row>
    <row r="6" ht="14.25" customHeight="1">
      <c r="A6" s="2">
        <v>2002.0</v>
      </c>
      <c r="B6" s="8">
        <v>41184.9670994058</v>
      </c>
      <c r="C6" s="2">
        <v>6401.01165530894</v>
      </c>
      <c r="D6" s="8">
        <v>47495.3888212439</v>
      </c>
      <c r="E6" s="8">
        <v>9183.72809083672</v>
      </c>
      <c r="F6" s="2">
        <v>21937.8450870055</v>
      </c>
      <c r="G6" s="2">
        <f t="shared" si="1"/>
        <v>126202.9408</v>
      </c>
      <c r="H6" s="2">
        <f t="shared" si="2"/>
        <v>0.01698801729</v>
      </c>
      <c r="K6" s="13">
        <v>1995.0</v>
      </c>
      <c r="L6" s="14">
        <v>689510.56</v>
      </c>
      <c r="N6" s="5">
        <v>1995.0</v>
      </c>
      <c r="O6" s="6">
        <v>1197260.36</v>
      </c>
      <c r="R6" s="7"/>
    </row>
    <row r="7" ht="14.25" customHeight="1">
      <c r="A7" s="2">
        <v>2003.0</v>
      </c>
      <c r="B7" s="8">
        <v>40721.1810268179</v>
      </c>
      <c r="C7" s="2">
        <v>-3187.15319116815</v>
      </c>
      <c r="D7" s="8">
        <v>33532.4969017045</v>
      </c>
      <c r="E7" s="8">
        <v>835.578784253477</v>
      </c>
      <c r="F7" s="2">
        <v>21937.8450870055</v>
      </c>
      <c r="G7" s="2">
        <f t="shared" si="1"/>
        <v>93839.94861</v>
      </c>
      <c r="H7" s="2">
        <f t="shared" si="2"/>
        <v>0.01246188723</v>
      </c>
      <c r="K7" s="9">
        <v>1996.0</v>
      </c>
      <c r="L7" s="10">
        <v>726235.47</v>
      </c>
      <c r="N7" s="11">
        <v>1996.0</v>
      </c>
      <c r="O7" s="12">
        <v>1143566.48</v>
      </c>
      <c r="R7" s="7"/>
    </row>
    <row r="8" ht="14.25" customHeight="1">
      <c r="A8" s="2">
        <v>2004.0</v>
      </c>
      <c r="B8" s="2">
        <v>42112.5392445818</v>
      </c>
      <c r="C8" s="2">
        <v>11270.7654174825</v>
      </c>
      <c r="D8" s="2">
        <v>32875.424779202</v>
      </c>
      <c r="E8" s="8">
        <v>18227.5565063019</v>
      </c>
      <c r="F8" s="2">
        <v>19850.8077603597</v>
      </c>
      <c r="G8" s="2">
        <f t="shared" si="1"/>
        <v>124337.0937</v>
      </c>
      <c r="H8" s="2">
        <f t="shared" si="2"/>
        <v>0.01622831618</v>
      </c>
      <c r="K8" s="13">
        <v>1997.0</v>
      </c>
      <c r="L8" s="14">
        <v>753848.75</v>
      </c>
      <c r="N8" s="5">
        <v>1997.0</v>
      </c>
      <c r="O8" s="6">
        <v>1220090.74</v>
      </c>
      <c r="R8" s="7"/>
    </row>
    <row r="9" ht="14.25" customHeight="1">
      <c r="A9" s="2">
        <v>2005.0</v>
      </c>
      <c r="B9" s="8">
        <v>35619.5342283503</v>
      </c>
      <c r="C9" s="2">
        <v>5705.33254642703</v>
      </c>
      <c r="D9" s="8">
        <v>37706.5715549961</v>
      </c>
      <c r="E9" s="8">
        <v>17068.091324832</v>
      </c>
      <c r="F9" s="2">
        <v>20314.5938329477</v>
      </c>
      <c r="G9" s="2">
        <f t="shared" si="1"/>
        <v>116414.1235</v>
      </c>
      <c r="H9" s="2">
        <f t="shared" si="2"/>
        <v>0.01495710824</v>
      </c>
      <c r="K9" s="9">
        <v>1998.0</v>
      </c>
      <c r="L9" s="10">
        <v>778387.7</v>
      </c>
      <c r="N9" s="11">
        <v>1998.0</v>
      </c>
      <c r="O9" s="12">
        <v>1201006.07</v>
      </c>
      <c r="R9" s="7"/>
    </row>
    <row r="10" ht="14.25" customHeight="1">
      <c r="A10" s="2">
        <v>2006.0</v>
      </c>
      <c r="B10" s="8">
        <v>37261.4139918145</v>
      </c>
      <c r="C10" s="2">
        <v>11270.7654174825</v>
      </c>
      <c r="D10" s="8">
        <v>33068.7108291166</v>
      </c>
      <c r="E10" s="8">
        <v>37706.5715549961</v>
      </c>
      <c r="F10" s="2">
        <v>18923.2356151838</v>
      </c>
      <c r="G10" s="2">
        <f t="shared" si="1"/>
        <v>138230.6974</v>
      </c>
      <c r="H10" s="2">
        <f t="shared" si="2"/>
        <v>0.01743586487</v>
      </c>
      <c r="K10" s="13">
        <v>1999.0</v>
      </c>
      <c r="L10" s="14">
        <v>794833.23</v>
      </c>
      <c r="N10" s="5">
        <v>1999.0</v>
      </c>
      <c r="O10" s="6">
        <v>1138743.23</v>
      </c>
      <c r="R10" s="7"/>
    </row>
    <row r="11" ht="14.25" customHeight="1">
      <c r="A11" s="2">
        <v>2007.0</v>
      </c>
      <c r="B11" s="8">
        <v>41648.7531719938</v>
      </c>
      <c r="C11" s="2">
        <v>21010.2729418296</v>
      </c>
      <c r="D11" s="8">
        <v>35851.4272646443</v>
      </c>
      <c r="E11" s="8">
        <v>74345.6712894449</v>
      </c>
      <c r="F11" s="2">
        <v>19387.0216877718</v>
      </c>
      <c r="G11" s="2">
        <f t="shared" si="1"/>
        <v>192243.1464</v>
      </c>
      <c r="H11" s="2">
        <f t="shared" si="2"/>
        <v>0.02366372358</v>
      </c>
      <c r="K11" s="9">
        <v>2000.0</v>
      </c>
      <c r="L11" s="10">
        <v>817290.05</v>
      </c>
      <c r="N11" s="11">
        <v>2000.0</v>
      </c>
      <c r="O11" s="12">
        <v>1216245.86</v>
      </c>
      <c r="R11" s="7"/>
    </row>
    <row r="12" ht="14.25" customHeight="1">
      <c r="A12" s="2">
        <v>2008.0</v>
      </c>
      <c r="B12" s="2">
        <v>42112.5392445818</v>
      </c>
      <c r="C12" s="2">
        <v>26111.9197402972</v>
      </c>
      <c r="D12" s="8">
        <v>47495.3888212439</v>
      </c>
      <c r="E12" s="8">
        <v>108897.733697247</v>
      </c>
      <c r="F12" s="2">
        <v>19850.8077603597</v>
      </c>
      <c r="G12" s="2">
        <f t="shared" si="1"/>
        <v>244468.3893</v>
      </c>
      <c r="H12" s="2">
        <f t="shared" si="2"/>
        <v>0.02920680631</v>
      </c>
      <c r="K12" s="13">
        <v>2001.0</v>
      </c>
      <c r="L12" s="14">
        <v>858377.65</v>
      </c>
      <c r="N12" s="5">
        <v>2001.0</v>
      </c>
      <c r="O12" s="6">
        <v>1235704.68</v>
      </c>
      <c r="R12" s="7"/>
    </row>
    <row r="13" ht="14.25" customHeight="1">
      <c r="A13" s="2">
        <v>2009.0</v>
      </c>
      <c r="B13" s="8">
        <v>50228.795514871</v>
      </c>
      <c r="C13" s="2">
        <v>42808.2183534637</v>
      </c>
      <c r="D13" s="8">
        <v>30517.8874298828</v>
      </c>
      <c r="E13" s="8">
        <v>64838.0568013917</v>
      </c>
      <c r="F13" s="2">
        <v>17531.8773974199</v>
      </c>
      <c r="G13" s="2">
        <f t="shared" si="1"/>
        <v>205924.8355</v>
      </c>
      <c r="H13" s="2">
        <f t="shared" si="2"/>
        <v>0.02401158611</v>
      </c>
      <c r="K13" s="9">
        <v>2002.0</v>
      </c>
      <c r="L13" s="10">
        <v>898189.7</v>
      </c>
      <c r="N13" s="11">
        <v>2002.0</v>
      </c>
      <c r="O13" s="12">
        <v>1215871.04</v>
      </c>
      <c r="R13" s="7"/>
    </row>
    <row r="14" ht="14.25" customHeight="1">
      <c r="A14" s="2">
        <v>2010.0</v>
      </c>
      <c r="B14" s="8">
        <v>62751.0194747459</v>
      </c>
      <c r="C14" s="2">
        <v>52315.8328415168</v>
      </c>
      <c r="D14" s="8">
        <v>38634.1437001721</v>
      </c>
      <c r="E14" s="8">
        <v>123275.101947474</v>
      </c>
      <c r="F14" s="2">
        <v>17763.7704337139</v>
      </c>
      <c r="G14" s="2">
        <f t="shared" si="1"/>
        <v>294739.8684</v>
      </c>
      <c r="H14" s="2">
        <f t="shared" si="2"/>
        <v>0.03323038339</v>
      </c>
      <c r="K14" s="13">
        <v>2003.0</v>
      </c>
      <c r="L14" s="14">
        <v>923082.36</v>
      </c>
      <c r="N14" s="5">
        <v>2003.0</v>
      </c>
      <c r="O14" s="6">
        <v>1162351.28</v>
      </c>
      <c r="R14" s="7"/>
    </row>
    <row r="15" ht="14.25" customHeight="1">
      <c r="A15" s="2">
        <v>2011.0</v>
      </c>
      <c r="B15" s="8">
        <v>71099.1687813292</v>
      </c>
      <c r="C15" s="2">
        <v>57417.4796399844</v>
      </c>
      <c r="D15" s="8">
        <v>40489.2879905239</v>
      </c>
      <c r="E15" s="8">
        <v>117941.562112713</v>
      </c>
      <c r="F15" s="2">
        <v>18227.5565063019</v>
      </c>
      <c r="G15" s="2">
        <f t="shared" si="1"/>
        <v>305175.055</v>
      </c>
      <c r="H15" s="2">
        <f t="shared" si="2"/>
        <v>0.03323130145</v>
      </c>
      <c r="K15" s="9">
        <v>2004.0</v>
      </c>
      <c r="L15" s="10">
        <v>939000.61</v>
      </c>
      <c r="N15" s="11">
        <v>2004.0</v>
      </c>
      <c r="O15" s="12">
        <v>1255305.13</v>
      </c>
      <c r="R15" s="7"/>
    </row>
    <row r="16" ht="14.25" customHeight="1">
      <c r="A16" s="2">
        <v>2012.0</v>
      </c>
      <c r="B16" s="8">
        <v>84780.857922674</v>
      </c>
      <c r="C16" s="2">
        <v>62519.1264384519</v>
      </c>
      <c r="D16" s="8">
        <v>31445.4595750587</v>
      </c>
      <c r="E16" s="2">
        <v>82461.9275597342</v>
      </c>
      <c r="F16" s="2">
        <v>10806.9793448945</v>
      </c>
      <c r="G16" s="2">
        <f t="shared" si="1"/>
        <v>272014.3508</v>
      </c>
      <c r="H16" s="2">
        <f t="shared" si="2"/>
        <v>0.02874384602</v>
      </c>
      <c r="K16" s="13">
        <v>2005.0</v>
      </c>
      <c r="L16" s="14">
        <v>979665.28</v>
      </c>
      <c r="N16" s="5">
        <v>2005.0</v>
      </c>
      <c r="O16" s="6">
        <v>1274006.61</v>
      </c>
      <c r="R16" s="7"/>
    </row>
    <row r="17" ht="14.25" customHeight="1">
      <c r="A17" s="2">
        <v>2013.0</v>
      </c>
      <c r="B17" s="8">
        <v>91041.9699026114</v>
      </c>
      <c r="C17" s="2">
        <v>60895.8751843941</v>
      </c>
      <c r="D17" s="8">
        <v>31213.5665387647</v>
      </c>
      <c r="E17" s="8">
        <v>96375.5097373729</v>
      </c>
      <c r="F17" s="2">
        <v>4777.76040125111</v>
      </c>
      <c r="G17" s="2">
        <f t="shared" si="1"/>
        <v>284304.6818</v>
      </c>
      <c r="H17" s="2">
        <f t="shared" si="2"/>
        <v>0.02913876514</v>
      </c>
      <c r="K17" s="9">
        <v>2006.0</v>
      </c>
      <c r="L17" s="10">
        <v>1011077.56</v>
      </c>
      <c r="N17" s="11">
        <v>2006.0</v>
      </c>
      <c r="O17" s="12">
        <v>1356425.52</v>
      </c>
      <c r="R17" s="7"/>
    </row>
    <row r="18" ht="14.25" customHeight="1">
      <c r="A18" s="2">
        <v>2014.0</v>
      </c>
      <c r="B18" s="8">
        <v>80838.6763056763</v>
      </c>
      <c r="C18" s="2">
        <v>52368.7101685912</v>
      </c>
      <c r="D18" s="8">
        <v>34460.0690468804</v>
      </c>
      <c r="E18" s="8">
        <v>53243.4049866928</v>
      </c>
      <c r="F18" s="2">
        <v>139.899675371503</v>
      </c>
      <c r="G18" s="2">
        <f t="shared" si="1"/>
        <v>221050.7602</v>
      </c>
      <c r="H18" s="2">
        <f t="shared" si="2"/>
        <v>0.02215026361</v>
      </c>
      <c r="K18" s="13">
        <v>2007.0</v>
      </c>
      <c r="L18" s="14">
        <v>1030620.73</v>
      </c>
      <c r="N18" s="5">
        <v>2007.0</v>
      </c>
      <c r="O18" s="6">
        <v>1511718.36</v>
      </c>
      <c r="R18" s="7"/>
    </row>
    <row r="19" ht="14.25" customHeight="1">
      <c r="A19" s="2">
        <v>2015.0</v>
      </c>
      <c r="B19" s="2">
        <v>66925.0941280376</v>
      </c>
      <c r="C19" s="2">
        <v>24024.8824136514</v>
      </c>
      <c r="D19" s="8">
        <v>17299.984361126</v>
      </c>
      <c r="E19" s="2">
        <v>-28041.0920626395</v>
      </c>
      <c r="F19" s="2">
        <v>-8547.80667325024</v>
      </c>
      <c r="G19" s="2">
        <f t="shared" si="1"/>
        <v>71661.06217</v>
      </c>
      <c r="H19" s="2">
        <f t="shared" si="2"/>
        <v>0.007127741078</v>
      </c>
      <c r="K19" s="9">
        <v>2008.0</v>
      </c>
      <c r="L19" s="10">
        <v>1075476.5</v>
      </c>
      <c r="N19" s="11">
        <v>2008.0</v>
      </c>
      <c r="O19" s="12">
        <v>1683726.65</v>
      </c>
      <c r="R19" s="7"/>
    </row>
    <row r="20" ht="14.25" customHeight="1">
      <c r="A20" s="2">
        <v>2016.0</v>
      </c>
      <c r="B20" s="8">
        <v>46982.2930067553</v>
      </c>
      <c r="C20" s="2">
        <v>371.792711665504</v>
      </c>
      <c r="D20" s="8">
        <v>4545.86736495711</v>
      </c>
      <c r="E20" s="2">
        <v>-68002.3271108875</v>
      </c>
      <c r="F20" s="2">
        <v>-10497.1352121891</v>
      </c>
      <c r="G20" s="2">
        <f t="shared" si="1"/>
        <v>-26599.50924</v>
      </c>
      <c r="H20" s="2">
        <f t="shared" si="2"/>
        <v>-0.002651048237</v>
      </c>
      <c r="K20" s="13">
        <v>2009.0</v>
      </c>
      <c r="L20" s="14">
        <v>1147213.95</v>
      </c>
      <c r="N20" s="5">
        <v>2009.0</v>
      </c>
      <c r="O20" s="6">
        <v>1655524.99</v>
      </c>
      <c r="R20" s="7"/>
    </row>
    <row r="21" ht="14.25" customHeight="1">
      <c r="A21" s="2">
        <v>2017.0</v>
      </c>
      <c r="B21" s="8">
        <v>29126.5292121189</v>
      </c>
      <c r="C21" s="2">
        <v>-7573.14240378074</v>
      </c>
      <c r="D21" s="2">
        <v>-7085.81026904602</v>
      </c>
      <c r="E21" s="2">
        <v>-47534.3774520288</v>
      </c>
      <c r="F21" s="2">
        <v>-7085.81026904602</v>
      </c>
      <c r="G21" s="2">
        <f t="shared" si="1"/>
        <v>-40152.61118</v>
      </c>
      <c r="H21" s="2">
        <f t="shared" si="2"/>
        <v>-0.004018035538</v>
      </c>
      <c r="K21" s="9">
        <v>2010.0</v>
      </c>
      <c r="L21" s="10">
        <v>1209064.03</v>
      </c>
      <c r="N21" s="11">
        <v>2010.0</v>
      </c>
      <c r="O21" s="12">
        <v>1943566.68</v>
      </c>
      <c r="R21" s="7"/>
    </row>
    <row r="22" ht="14.25" customHeight="1">
      <c r="A22" s="2">
        <v>2018.0</v>
      </c>
      <c r="B22" s="8">
        <v>23792.9893773574</v>
      </c>
      <c r="C22" s="2">
        <v>-8547.80667325024</v>
      </c>
      <c r="D22" s="2">
        <v>-24629.7671194963</v>
      </c>
      <c r="E22" s="2">
        <v>-19269.1136374143</v>
      </c>
      <c r="F22" s="2">
        <v>-2699.82105643342</v>
      </c>
      <c r="G22" s="2">
        <f t="shared" si="1"/>
        <v>-31353.51911</v>
      </c>
      <c r="H22" s="2">
        <f t="shared" si="2"/>
        <v>-0.003144950976</v>
      </c>
      <c r="K22" s="13">
        <v>2011.0</v>
      </c>
      <c r="L22" s="14">
        <v>1321484.31</v>
      </c>
      <c r="N22" s="5">
        <v>2011.0</v>
      </c>
      <c r="O22" s="6">
        <v>2076390.93</v>
      </c>
      <c r="R22" s="7"/>
    </row>
    <row r="23" ht="14.25" customHeight="1">
      <c r="A23" s="2">
        <v>2019.0</v>
      </c>
      <c r="B23" s="8">
        <v>25880.0267040032</v>
      </c>
      <c r="C23" s="2">
        <v>711.503886709688</v>
      </c>
      <c r="D23" s="2">
        <v>-15370.4565595364</v>
      </c>
      <c r="E23" s="2">
        <v>-1251.45854239235</v>
      </c>
      <c r="F23" s="2">
        <v>1067.47182054742</v>
      </c>
      <c r="G23" s="2">
        <f t="shared" si="1"/>
        <v>11037.08731</v>
      </c>
      <c r="H23" s="2">
        <f t="shared" si="2"/>
        <v>0.001105964952</v>
      </c>
      <c r="K23" s="9">
        <v>2012.0</v>
      </c>
      <c r="L23" s="10">
        <v>1417027.49</v>
      </c>
      <c r="N23" s="11">
        <v>2012.0</v>
      </c>
      <c r="O23" s="12">
        <v>2089688.16</v>
      </c>
      <c r="R23" s="7"/>
    </row>
    <row r="24" ht="14.25" customHeight="1">
      <c r="A24" s="2">
        <v>2020.0</v>
      </c>
      <c r="B24" s="8">
        <v>15212.9470344801</v>
      </c>
      <c r="C24" s="2">
        <v>9879.40719971864</v>
      </c>
      <c r="D24" s="2">
        <v>-9522.47094271969</v>
      </c>
      <c r="E24" s="2">
        <v>-29990.4206015784</v>
      </c>
      <c r="F24" s="2">
        <v>-5623.81386484182</v>
      </c>
      <c r="G24" s="2">
        <f t="shared" si="1"/>
        <v>-20044.35117</v>
      </c>
      <c r="H24" s="2">
        <f t="shared" si="2"/>
        <v>-0.002010571814</v>
      </c>
      <c r="K24" s="13">
        <v>2013.0</v>
      </c>
      <c r="L24" s="14">
        <v>1505096.78</v>
      </c>
      <c r="N24" s="5">
        <v>2013.0</v>
      </c>
      <c r="O24" s="6">
        <v>2211851.57</v>
      </c>
      <c r="R24" s="7"/>
    </row>
    <row r="25" ht="14.25" customHeight="1">
      <c r="A25" s="2">
        <v>2021.0</v>
      </c>
      <c r="B25" s="8">
        <v>33532.4969017045</v>
      </c>
      <c r="C25" s="2">
        <v>15331.4679287516</v>
      </c>
      <c r="D25" s="8">
        <v>12894.0166715404</v>
      </c>
      <c r="E25" s="2">
        <v>-13421.1280205975</v>
      </c>
      <c r="F25" s="2">
        <v>15444.8400707741</v>
      </c>
      <c r="G25" s="2">
        <f t="shared" si="1"/>
        <v>63781.69355</v>
      </c>
      <c r="H25" s="2">
        <f t="shared" si="2"/>
        <v>0.006356822027</v>
      </c>
      <c r="K25" s="9">
        <v>2014.0</v>
      </c>
      <c r="L25" s="10">
        <v>1565994.11</v>
      </c>
      <c r="N25" s="11">
        <v>2014.0</v>
      </c>
      <c r="O25" s="12">
        <v>2117676.65</v>
      </c>
      <c r="R25" s="7"/>
    </row>
    <row r="26" ht="14.25" customHeight="1">
      <c r="B26" s="8"/>
      <c r="D26" s="8"/>
      <c r="H26" s="2">
        <f>AVERAGE(H3:H25)</f>
        <v>0.01594752038</v>
      </c>
      <c r="K26" s="13">
        <v>2015.0</v>
      </c>
      <c r="L26" s="14">
        <v>1632682.95</v>
      </c>
      <c r="N26" s="5">
        <v>2015.0</v>
      </c>
      <c r="O26" s="6">
        <v>1816318.54</v>
      </c>
      <c r="R26" s="7"/>
    </row>
    <row r="27" ht="14.25" customHeight="1">
      <c r="A27" s="1" t="s">
        <v>10</v>
      </c>
      <c r="K27" s="9">
        <v>2016.0</v>
      </c>
      <c r="L27" s="10">
        <v>1644860.92</v>
      </c>
      <c r="N27" s="11">
        <v>2016.0</v>
      </c>
      <c r="O27" s="12">
        <v>1590770.38</v>
      </c>
      <c r="R27" s="7"/>
    </row>
    <row r="28" ht="14.25" customHeight="1">
      <c r="A28" s="2" t="s">
        <v>3</v>
      </c>
      <c r="B28" s="2" t="s">
        <v>4</v>
      </c>
      <c r="C28" s="2" t="s">
        <v>11</v>
      </c>
      <c r="D28" s="2" t="s">
        <v>6</v>
      </c>
      <c r="E28" s="2" t="s">
        <v>12</v>
      </c>
      <c r="F28" s="2" t="s">
        <v>8</v>
      </c>
      <c r="G28" s="2" t="s">
        <v>9</v>
      </c>
      <c r="K28" s="13">
        <v>2017.0</v>
      </c>
      <c r="L28" s="14">
        <v>1642135.05</v>
      </c>
      <c r="N28" s="5">
        <v>2017.0</v>
      </c>
      <c r="O28" s="6">
        <v>1549430.86</v>
      </c>
      <c r="R28" s="7"/>
    </row>
    <row r="29" ht="14.25" customHeight="1">
      <c r="A29" s="2">
        <v>1999.0</v>
      </c>
      <c r="B29" s="2">
        <v>2379868.56985731</v>
      </c>
      <c r="C29" s="2">
        <v>1165268.22391946</v>
      </c>
      <c r="D29" s="8">
        <v>2214547.96721577</v>
      </c>
      <c r="E29" s="2">
        <v>1111285.98632222</v>
      </c>
      <c r="F29" s="2">
        <v>113901.046267151</v>
      </c>
      <c r="G29" s="2">
        <f t="shared" ref="G29:G51" si="3">SUM(B29:F29)</f>
        <v>6984871.794</v>
      </c>
      <c r="H29" s="2">
        <f t="shared" ref="H29:H51" si="4">I57/G29</f>
        <v>0.04671879594</v>
      </c>
      <c r="K29" s="9">
        <v>2018.0</v>
      </c>
      <c r="L29" s="10">
        <v>1698825.79</v>
      </c>
      <c r="N29" s="11">
        <v>2018.0</v>
      </c>
      <c r="O29" s="12">
        <v>1631136.23</v>
      </c>
      <c r="R29" s="7"/>
    </row>
    <row r="30" ht="14.25" customHeight="1">
      <c r="A30" s="2">
        <v>2000.0</v>
      </c>
      <c r="B30" s="2">
        <v>2427103.02775489</v>
      </c>
      <c r="C30" s="2">
        <v>1185511.56301842</v>
      </c>
      <c r="D30" s="8">
        <v>2254452.4849907</v>
      </c>
      <c r="E30" s="2">
        <v>1131529.32542119</v>
      </c>
      <c r="F30" s="2">
        <v>156204.434384217</v>
      </c>
      <c r="G30" s="2">
        <f t="shared" si="3"/>
        <v>7154800.836</v>
      </c>
      <c r="H30" s="2">
        <f t="shared" si="4"/>
        <v>0.04689782675</v>
      </c>
      <c r="K30" s="13">
        <v>2019.0</v>
      </c>
      <c r="L30" s="14">
        <v>1665993.49</v>
      </c>
      <c r="N30" s="5">
        <v>2019.0</v>
      </c>
      <c r="O30" s="6">
        <v>1705317.9</v>
      </c>
      <c r="R30" s="7"/>
    </row>
    <row r="31" ht="14.25" customHeight="1">
      <c r="A31" s="2">
        <v>2001.0</v>
      </c>
      <c r="B31" s="2">
        <v>2467589.70595282</v>
      </c>
      <c r="C31" s="2">
        <v>1205754.90211739</v>
      </c>
      <c r="D31" s="8">
        <v>2298895.21346145</v>
      </c>
      <c r="E31" s="2">
        <v>1155146.55436998</v>
      </c>
      <c r="F31" s="2">
        <v>181586.467254458</v>
      </c>
      <c r="G31" s="2">
        <f t="shared" si="3"/>
        <v>7308972.843</v>
      </c>
      <c r="H31" s="2">
        <f t="shared" si="4"/>
        <v>0.04821654801</v>
      </c>
      <c r="K31" s="9">
        <v>2020.0</v>
      </c>
      <c r="L31" s="10">
        <v>1721305.25</v>
      </c>
      <c r="N31" s="11">
        <v>2020.0</v>
      </c>
      <c r="O31" s="12">
        <v>1681285.16</v>
      </c>
      <c r="R31" s="7"/>
    </row>
    <row r="32" ht="14.25" customHeight="1">
      <c r="A32" s="2">
        <v>2002.0</v>
      </c>
      <c r="B32" s="2">
        <v>2511450.27400058</v>
      </c>
      <c r="C32" s="2">
        <v>1205754.90211739</v>
      </c>
      <c r="D32" s="8">
        <v>2346129.67135904</v>
      </c>
      <c r="E32" s="2">
        <v>1165268.22391946</v>
      </c>
      <c r="F32" s="2">
        <v>200335.726868837</v>
      </c>
      <c r="G32" s="2">
        <f t="shared" si="3"/>
        <v>7428938.798</v>
      </c>
      <c r="H32" s="2">
        <f t="shared" si="4"/>
        <v>0.04963812195</v>
      </c>
      <c r="K32" s="13">
        <v>2021.0</v>
      </c>
      <c r="L32" s="14">
        <v>1729377.19</v>
      </c>
      <c r="N32" s="5">
        <v>2021.0</v>
      </c>
      <c r="O32" s="6">
        <v>1901117.27</v>
      </c>
      <c r="P32" s="2">
        <f>L32/O32</f>
        <v>0.9096636053</v>
      </c>
      <c r="R32" s="7"/>
    </row>
    <row r="33" ht="14.25" customHeight="1">
      <c r="A33" s="2">
        <v>2003.0</v>
      </c>
      <c r="B33" s="2">
        <v>2555310.84204833</v>
      </c>
      <c r="C33" s="2">
        <v>1205754.90211739</v>
      </c>
      <c r="D33" s="8">
        <v>2379868.56985731</v>
      </c>
      <c r="E33" s="2">
        <v>1165268.22391946</v>
      </c>
      <c r="F33" s="2">
        <v>223952.955817628</v>
      </c>
      <c r="G33" s="2">
        <f t="shared" si="3"/>
        <v>7530155.494</v>
      </c>
      <c r="H33" s="2">
        <f t="shared" si="4"/>
        <v>0.05032810283</v>
      </c>
      <c r="K33" s="9">
        <v>2022.0</v>
      </c>
      <c r="L33" s="10">
        <v>1773189.96</v>
      </c>
    </row>
    <row r="34" ht="14.25" customHeight="1">
      <c r="A34" s="2">
        <v>2004.0</v>
      </c>
      <c r="B34" s="2">
        <v>2595797.52024626</v>
      </c>
      <c r="C34" s="2">
        <v>1219250.4615167</v>
      </c>
      <c r="D34" s="8">
        <v>2413607.46835558</v>
      </c>
      <c r="E34" s="2">
        <v>1185511.56301842</v>
      </c>
      <c r="F34" s="2">
        <v>247570.18476642</v>
      </c>
      <c r="G34" s="2">
        <f t="shared" si="3"/>
        <v>7661737.198</v>
      </c>
      <c r="H34" s="2">
        <f t="shared" si="4"/>
        <v>0.05031676107</v>
      </c>
      <c r="K34" s="13">
        <v>2023.0</v>
      </c>
      <c r="L34" s="14">
        <v>1758582.42</v>
      </c>
    </row>
    <row r="35" ht="14.25" customHeight="1">
      <c r="A35" s="2">
        <v>2005.0</v>
      </c>
      <c r="B35" s="2">
        <v>2629536.41874454</v>
      </c>
      <c r="C35" s="2">
        <v>1229372.13106618</v>
      </c>
      <c r="D35" s="8">
        <v>2454094.14655351</v>
      </c>
      <c r="E35" s="2">
        <v>1202381.01226756</v>
      </c>
      <c r="F35" s="2">
        <v>267813.523865384</v>
      </c>
      <c r="G35" s="2">
        <f t="shared" si="3"/>
        <v>7783197.232</v>
      </c>
      <c r="H35" s="2">
        <f t="shared" si="4"/>
        <v>0.05167657686</v>
      </c>
      <c r="K35" s="15">
        <v>2024.0</v>
      </c>
      <c r="L35" s="16">
        <v>1668127.33</v>
      </c>
    </row>
    <row r="36" ht="14.25" customHeight="1">
      <c r="A36" s="2">
        <v>2006.0</v>
      </c>
      <c r="B36" s="2">
        <v>2670023.09694246</v>
      </c>
      <c r="C36" s="2">
        <v>1239171.17018111</v>
      </c>
      <c r="D36" s="8">
        <v>2487833.04505179</v>
      </c>
      <c r="E36" s="2">
        <v>1242867.69046549</v>
      </c>
      <c r="F36" s="2">
        <v>288056.862964349</v>
      </c>
      <c r="G36" s="2">
        <f t="shared" si="3"/>
        <v>7927951.866</v>
      </c>
      <c r="H36" s="2">
        <f t="shared" si="4"/>
        <v>0.05235974525</v>
      </c>
      <c r="K36" s="17" t="s">
        <v>13</v>
      </c>
      <c r="L36" s="18"/>
    </row>
    <row r="37" ht="14.25" customHeight="1">
      <c r="A37" s="2">
        <v>2007.0</v>
      </c>
      <c r="B37" s="2">
        <v>2713883.66499022</v>
      </c>
      <c r="C37" s="2">
        <v>1259737.13971463</v>
      </c>
      <c r="D37" s="8">
        <v>2524945.83339989</v>
      </c>
      <c r="E37" s="2">
        <v>1317093.26716169</v>
      </c>
      <c r="F37" s="2">
        <v>308300.202063312</v>
      </c>
      <c r="G37" s="2">
        <f t="shared" si="3"/>
        <v>8123960.107</v>
      </c>
      <c r="H37" s="2">
        <f t="shared" si="4"/>
        <v>0.05208409869</v>
      </c>
    </row>
    <row r="38" ht="14.25" customHeight="1">
      <c r="A38" s="2">
        <v>2008.0</v>
      </c>
      <c r="B38" s="2">
        <v>2757744.23303798</v>
      </c>
      <c r="C38" s="2">
        <v>1286728.25851324</v>
      </c>
      <c r="D38" s="8">
        <v>2572180.29129747</v>
      </c>
      <c r="E38" s="2">
        <v>1425057.74235617</v>
      </c>
      <c r="F38" s="2">
        <v>328543.541162277</v>
      </c>
      <c r="G38" s="2">
        <f t="shared" si="3"/>
        <v>8370254.066</v>
      </c>
      <c r="H38" s="2">
        <f t="shared" si="4"/>
        <v>0.05275168549</v>
      </c>
    </row>
    <row r="39" ht="14.25" customHeight="1">
      <c r="A39" s="2">
        <v>2009.0</v>
      </c>
      <c r="B39" s="2">
        <v>2804978.69093556</v>
      </c>
      <c r="C39" s="2">
        <v>1333962.71641083</v>
      </c>
      <c r="D39" s="8">
        <v>2599171.41009609</v>
      </c>
      <c r="E39" s="2">
        <v>1492535.53935271</v>
      </c>
      <c r="F39" s="2">
        <v>345412.990411413</v>
      </c>
      <c r="G39" s="2">
        <f t="shared" si="3"/>
        <v>8576061.347</v>
      </c>
      <c r="H39" s="2">
        <f t="shared" si="4"/>
        <v>0.05492000826</v>
      </c>
    </row>
    <row r="40" ht="14.25" customHeight="1">
      <c r="A40" s="2">
        <v>2010.0</v>
      </c>
      <c r="B40" s="2">
        <v>2869082.59808228</v>
      </c>
      <c r="C40" s="2">
        <v>1381197.17430841</v>
      </c>
      <c r="D40" s="8">
        <v>2643031.97814384</v>
      </c>
      <c r="E40" s="2">
        <v>1613995.5739465</v>
      </c>
      <c r="F40" s="2">
        <v>362282.43966055</v>
      </c>
      <c r="G40" s="2">
        <f t="shared" si="3"/>
        <v>8869589.764</v>
      </c>
      <c r="H40" s="2">
        <f t="shared" si="4"/>
        <v>0.05596542717</v>
      </c>
    </row>
    <row r="41" ht="14.25" customHeight="1">
      <c r="A41" s="2">
        <v>2011.0</v>
      </c>
      <c r="B41" s="2">
        <v>2939934.28492865</v>
      </c>
      <c r="C41" s="2">
        <v>1441927.1916053</v>
      </c>
      <c r="D41" s="8">
        <v>2683518.65634177</v>
      </c>
      <c r="E41" s="2">
        <v>1735455.60854028</v>
      </c>
      <c r="F41" s="2">
        <v>382525.778759515</v>
      </c>
      <c r="G41" s="2">
        <f t="shared" si="3"/>
        <v>9183361.52</v>
      </c>
      <c r="H41" s="2">
        <f t="shared" si="4"/>
        <v>0.05907917039</v>
      </c>
    </row>
    <row r="42" ht="14.25" customHeight="1">
      <c r="A42" s="2">
        <v>2012.0</v>
      </c>
      <c r="B42" s="2">
        <v>3027655.42102416</v>
      </c>
      <c r="C42" s="2">
        <v>1502657.2089022</v>
      </c>
      <c r="D42" s="8">
        <v>2717257.55484005</v>
      </c>
      <c r="E42" s="2">
        <v>1819802.85478597</v>
      </c>
      <c r="F42" s="2">
        <v>396021.338158824</v>
      </c>
      <c r="G42" s="2">
        <f t="shared" si="3"/>
        <v>9463394.378</v>
      </c>
      <c r="H42" s="2">
        <f t="shared" si="4"/>
        <v>0.06147597012</v>
      </c>
    </row>
    <row r="43" ht="14.25" customHeight="1">
      <c r="A43" s="2">
        <v>2013.0</v>
      </c>
      <c r="B43" s="2">
        <v>3118750.4469695</v>
      </c>
      <c r="C43" s="2">
        <v>1570135.00589874</v>
      </c>
      <c r="D43" s="8">
        <v>2747622.56348849</v>
      </c>
      <c r="E43" s="2">
        <v>1917645.66043096</v>
      </c>
      <c r="F43" s="2">
        <v>402769.117858479</v>
      </c>
      <c r="G43" s="2">
        <f t="shared" si="3"/>
        <v>9756922.795</v>
      </c>
      <c r="H43" s="2">
        <f t="shared" si="4"/>
        <v>0.06333235212</v>
      </c>
    </row>
    <row r="44" ht="14.25" customHeight="1">
      <c r="A44" s="2">
        <v>2014.0</v>
      </c>
      <c r="B44" s="2">
        <v>3203097.69321519</v>
      </c>
      <c r="C44" s="2">
        <v>1617369.46379633</v>
      </c>
      <c r="D44" s="8">
        <v>2784735.35183659</v>
      </c>
      <c r="E44" s="2">
        <v>1971627.8980282</v>
      </c>
      <c r="F44" s="2">
        <v>402769.117858479</v>
      </c>
      <c r="G44" s="2">
        <f t="shared" si="3"/>
        <v>9979599.525</v>
      </c>
      <c r="H44" s="2">
        <f t="shared" si="4"/>
        <v>0.06442450205</v>
      </c>
    </row>
    <row r="45" ht="14.25" customHeight="1">
      <c r="A45" s="2">
        <v>2015.0</v>
      </c>
      <c r="B45" s="2">
        <v>3267201.60036191</v>
      </c>
      <c r="C45" s="2">
        <v>1644360.58259494</v>
      </c>
      <c r="D45" s="8">
        <v>2801604.80108573</v>
      </c>
      <c r="E45" s="2">
        <v>1944636.77922958</v>
      </c>
      <c r="F45" s="2">
        <v>396021.338158824</v>
      </c>
      <c r="G45" s="2">
        <f t="shared" si="3"/>
        <v>10053825.1</v>
      </c>
      <c r="H45" s="2">
        <f t="shared" si="4"/>
        <v>0.06667216937</v>
      </c>
    </row>
    <row r="46" ht="14.25" customHeight="1">
      <c r="A46" s="2">
        <v>2016.0</v>
      </c>
      <c r="B46" s="2">
        <v>3317809.94810932</v>
      </c>
      <c r="C46" s="2">
        <v>1644360.58259494</v>
      </c>
      <c r="D46" s="2">
        <v>2808352.58078539</v>
      </c>
      <c r="E46" s="2">
        <v>1877158.98223303</v>
      </c>
      <c r="F46" s="2">
        <v>385899.668609342</v>
      </c>
      <c r="G46" s="2">
        <f t="shared" si="3"/>
        <v>10033581.76</v>
      </c>
      <c r="H46" s="2">
        <f t="shared" si="4"/>
        <v>0.06730498699</v>
      </c>
    </row>
    <row r="47" ht="14.25" customHeight="1">
      <c r="A47" s="2">
        <v>2017.0</v>
      </c>
      <c r="B47" s="2">
        <v>3344801.06690794</v>
      </c>
      <c r="C47" s="2">
        <v>1637612.80289529</v>
      </c>
      <c r="D47" s="8">
        <v>2801604.80108573</v>
      </c>
      <c r="E47" s="2">
        <v>1829924.52433545</v>
      </c>
      <c r="F47" s="2">
        <v>379151.888909687</v>
      </c>
      <c r="G47" s="2">
        <f t="shared" si="3"/>
        <v>9993095.084</v>
      </c>
      <c r="H47" s="2">
        <f t="shared" si="4"/>
        <v>0.06746568048</v>
      </c>
    </row>
    <row r="48" ht="14.25" customHeight="1">
      <c r="A48" s="2">
        <v>2018.0</v>
      </c>
      <c r="B48" s="2">
        <v>3371792.18570656</v>
      </c>
      <c r="C48" s="2">
        <v>1630865.02319563</v>
      </c>
      <c r="D48" s="8">
        <v>2777987.57213694</v>
      </c>
      <c r="E48" s="2">
        <v>1813055.07508631</v>
      </c>
      <c r="F48" s="2">
        <v>375777.99905986</v>
      </c>
      <c r="G48" s="2">
        <f t="shared" si="3"/>
        <v>9969477.855</v>
      </c>
      <c r="H48" s="2">
        <f t="shared" si="4"/>
        <v>0.06996011126</v>
      </c>
    </row>
    <row r="49" ht="14.25" customHeight="1">
      <c r="A49" s="2">
        <v>2019.0</v>
      </c>
      <c r="B49" s="2">
        <v>3398783.30450517</v>
      </c>
      <c r="C49" s="2">
        <v>1630865.02319563</v>
      </c>
      <c r="D49" s="8">
        <v>2761118.1228878</v>
      </c>
      <c r="E49" s="2">
        <v>1813055.07508631</v>
      </c>
      <c r="F49" s="2">
        <v>375777.99905986</v>
      </c>
      <c r="G49" s="2">
        <f t="shared" si="3"/>
        <v>9979599.525</v>
      </c>
      <c r="H49" s="2">
        <f t="shared" si="4"/>
        <v>0.06853844468</v>
      </c>
    </row>
    <row r="50" ht="14.25" customHeight="1">
      <c r="A50" s="2">
        <v>2020.0</v>
      </c>
      <c r="B50" s="2">
        <v>3412278.86390448</v>
      </c>
      <c r="C50" s="2">
        <v>1644360.58259494</v>
      </c>
      <c r="D50" s="8">
        <v>2754370.34318815</v>
      </c>
      <c r="E50" s="2">
        <v>1782690.06643787</v>
      </c>
      <c r="F50" s="2">
        <v>375777.99905986</v>
      </c>
      <c r="G50" s="2">
        <f t="shared" si="3"/>
        <v>9969477.855</v>
      </c>
      <c r="H50" s="2">
        <f t="shared" si="4"/>
        <v>0.07088584781</v>
      </c>
    </row>
    <row r="51" ht="14.25" customHeight="1">
      <c r="A51" s="2">
        <v>2021.0</v>
      </c>
      <c r="B51" s="2">
        <v>3446017.76240276</v>
      </c>
      <c r="C51" s="2">
        <v>1657856.14199425</v>
      </c>
      <c r="D51" s="8">
        <v>2767865.90258746</v>
      </c>
      <c r="E51" s="2">
        <v>1772568.39688838</v>
      </c>
      <c r="F51" s="2">
        <v>389273.55845917</v>
      </c>
      <c r="G51" s="2">
        <f t="shared" si="3"/>
        <v>10033581.76</v>
      </c>
      <c r="H51" s="2">
        <f t="shared" si="4"/>
        <v>0.07076325253</v>
      </c>
    </row>
    <row r="52" ht="14.25" customHeight="1"/>
    <row r="53" ht="14.25" customHeight="1"/>
    <row r="54" ht="14.25" customHeight="1"/>
    <row r="55" ht="14.25" customHeight="1"/>
    <row r="56" ht="14.25" customHeight="1">
      <c r="E56" s="2" t="s">
        <v>14</v>
      </c>
      <c r="H56" s="2" t="s">
        <v>15</v>
      </c>
      <c r="N56" s="2" t="s">
        <v>16</v>
      </c>
    </row>
    <row r="57" ht="14.25" customHeight="1">
      <c r="A57" s="3">
        <v>1999.0</v>
      </c>
      <c r="B57" s="4">
        <v>141194.85</v>
      </c>
      <c r="E57" s="5">
        <v>1999.0</v>
      </c>
      <c r="F57" s="5">
        <v>464267.16</v>
      </c>
      <c r="H57" s="11">
        <v>1999.0</v>
      </c>
      <c r="I57" s="12">
        <v>326324.8</v>
      </c>
      <c r="N57" s="19">
        <v>2002.0</v>
      </c>
      <c r="O57" s="20">
        <v>2.54</v>
      </c>
    </row>
    <row r="58" ht="14.25" customHeight="1">
      <c r="A58" s="9">
        <v>2000.0</v>
      </c>
      <c r="B58" s="10">
        <v>163794.32</v>
      </c>
      <c r="E58" s="11">
        <v>2000.0</v>
      </c>
      <c r="F58" s="12">
        <v>486613.23</v>
      </c>
      <c r="H58" s="5">
        <v>2000.0</v>
      </c>
      <c r="I58" s="6">
        <v>335544.61</v>
      </c>
      <c r="N58" s="11">
        <v>2003.0</v>
      </c>
      <c r="O58" s="21">
        <v>2.54</v>
      </c>
    </row>
    <row r="59" ht="14.25" customHeight="1">
      <c r="A59" s="13">
        <v>2001.0</v>
      </c>
      <c r="B59" s="14">
        <v>154914.46</v>
      </c>
      <c r="E59" s="5">
        <v>2001.0</v>
      </c>
      <c r="F59" s="6">
        <v>492960.98</v>
      </c>
      <c r="H59" s="11">
        <v>2001.0</v>
      </c>
      <c r="I59" s="12">
        <v>352413.44</v>
      </c>
      <c r="N59" s="5">
        <v>2004.0</v>
      </c>
      <c r="O59" s="22">
        <v>2.45</v>
      </c>
    </row>
    <row r="60" ht="14.25" customHeight="1">
      <c r="A60" s="9">
        <v>2002.0</v>
      </c>
      <c r="B60" s="10">
        <v>130426.48</v>
      </c>
      <c r="E60" s="11">
        <v>2002.0</v>
      </c>
      <c r="F60" s="12">
        <v>485843.74</v>
      </c>
      <c r="H60" s="5">
        <v>2002.0</v>
      </c>
      <c r="I60" s="6">
        <v>368758.57</v>
      </c>
      <c r="N60" s="11">
        <v>2005.0</v>
      </c>
      <c r="O60" s="21">
        <v>2.41</v>
      </c>
    </row>
    <row r="61" ht="14.25" customHeight="1">
      <c r="A61" s="13">
        <v>2003.0</v>
      </c>
      <c r="B61" s="14">
        <v>98233.66</v>
      </c>
      <c r="E61" s="5">
        <v>2003.0</v>
      </c>
      <c r="F61" s="6">
        <v>466485.23</v>
      </c>
      <c r="H61" s="11">
        <v>2003.0</v>
      </c>
      <c r="I61" s="12">
        <v>378978.44</v>
      </c>
      <c r="N61" s="5">
        <v>2006.0</v>
      </c>
      <c r="O61" s="22">
        <v>2.36</v>
      </c>
    </row>
    <row r="62" ht="14.25" customHeight="1">
      <c r="A62" s="9">
        <v>2004.0</v>
      </c>
      <c r="B62" s="10">
        <v>129861.21</v>
      </c>
      <c r="E62" s="11">
        <v>2004.0</v>
      </c>
      <c r="F62" s="12">
        <v>506075.66</v>
      </c>
      <c r="H62" s="5">
        <v>2004.0</v>
      </c>
      <c r="I62" s="6">
        <v>385513.8</v>
      </c>
      <c r="N62" s="11">
        <v>2007.0</v>
      </c>
      <c r="O62" s="21">
        <v>2.28</v>
      </c>
    </row>
    <row r="63" ht="14.25" customHeight="1">
      <c r="A63" s="13">
        <v>2005.0</v>
      </c>
      <c r="B63" s="14">
        <v>120844.06</v>
      </c>
      <c r="E63" s="5">
        <v>2005.0</v>
      </c>
      <c r="F63" s="6">
        <v>515976.03</v>
      </c>
      <c r="H63" s="11">
        <v>2005.0</v>
      </c>
      <c r="I63" s="12">
        <v>402208.99</v>
      </c>
      <c r="N63" s="5">
        <v>2008.0</v>
      </c>
      <c r="O63" s="22">
        <v>2.23</v>
      </c>
    </row>
    <row r="64" ht="14.25" customHeight="1">
      <c r="A64" s="9">
        <v>2006.0</v>
      </c>
      <c r="B64" s="10">
        <v>141785.22</v>
      </c>
      <c r="E64" s="11">
        <v>2006.0</v>
      </c>
      <c r="F64" s="12">
        <v>550344.1</v>
      </c>
      <c r="H64" s="5">
        <v>2006.0</v>
      </c>
      <c r="I64" s="6">
        <v>415105.54</v>
      </c>
      <c r="N64" s="11">
        <v>2009.0</v>
      </c>
      <c r="O64" s="21">
        <v>2.29</v>
      </c>
    </row>
    <row r="65" ht="14.25" customHeight="1">
      <c r="A65" s="13">
        <v>2007.0</v>
      </c>
      <c r="B65" s="14">
        <v>197518.27</v>
      </c>
      <c r="E65" s="5">
        <v>2007.0</v>
      </c>
      <c r="F65" s="6">
        <v>616123.47</v>
      </c>
      <c r="H65" s="11">
        <v>2007.0</v>
      </c>
      <c r="I65" s="12">
        <v>423129.14</v>
      </c>
      <c r="N65" s="5">
        <v>2010.0</v>
      </c>
      <c r="O65" s="22">
        <v>2.2</v>
      </c>
    </row>
    <row r="66" ht="14.25" customHeight="1">
      <c r="A66" s="9">
        <v>2008.0</v>
      </c>
      <c r="B66" s="10">
        <v>249721.7</v>
      </c>
      <c r="E66" s="11">
        <v>2008.0</v>
      </c>
      <c r="F66" s="12">
        <v>691826.3</v>
      </c>
      <c r="H66" s="5">
        <v>2008.0</v>
      </c>
      <c r="I66" s="6">
        <v>441545.01</v>
      </c>
      <c r="N66" s="11">
        <v>2011.0</v>
      </c>
      <c r="O66" s="21">
        <v>2.19</v>
      </c>
    </row>
    <row r="67" ht="14.25" customHeight="1">
      <c r="A67" s="13">
        <v>2009.0</v>
      </c>
      <c r="B67" s="14">
        <v>208690.94</v>
      </c>
      <c r="E67" s="5">
        <v>2009.0</v>
      </c>
      <c r="F67" s="6">
        <v>677063.6</v>
      </c>
      <c r="H67" s="11">
        <v>2009.0</v>
      </c>
      <c r="I67" s="12">
        <v>470997.36</v>
      </c>
      <c r="N67" s="5">
        <v>2012.0</v>
      </c>
      <c r="O67" s="22">
        <v>2.22</v>
      </c>
    </row>
    <row r="68" ht="14.25" customHeight="1">
      <c r="A68" s="9">
        <v>2010.0</v>
      </c>
      <c r="B68" s="10">
        <v>301555.62</v>
      </c>
      <c r="E68" s="11">
        <v>2010.0</v>
      </c>
      <c r="F68" s="12">
        <v>797946.0</v>
      </c>
      <c r="H68" s="5">
        <v>2010.0</v>
      </c>
      <c r="I68" s="6">
        <v>496390.38</v>
      </c>
      <c r="N68" s="11">
        <v>2013.0</v>
      </c>
      <c r="O68" s="21">
        <v>2.22</v>
      </c>
    </row>
    <row r="69" ht="14.25" customHeight="1">
      <c r="A69" s="13">
        <v>2011.0</v>
      </c>
      <c r="B69" s="14">
        <v>309932.62</v>
      </c>
      <c r="E69" s="5">
        <v>2011.0</v>
      </c>
      <c r="F69" s="6">
        <v>852478.0</v>
      </c>
      <c r="H69" s="11">
        <v>2011.0</v>
      </c>
      <c r="I69" s="12">
        <v>542545.38</v>
      </c>
      <c r="N69" s="5">
        <v>2014.0</v>
      </c>
      <c r="O69" s="22">
        <v>2.26</v>
      </c>
    </row>
    <row r="70" ht="14.25" customHeight="1">
      <c r="A70" s="9">
        <v>2012.0</v>
      </c>
      <c r="B70" s="10">
        <v>276165.93</v>
      </c>
      <c r="E70" s="11">
        <v>2012.0</v>
      </c>
      <c r="F70" s="12">
        <v>859116.9</v>
      </c>
      <c r="H70" s="5">
        <v>2012.0</v>
      </c>
      <c r="I70" s="6">
        <v>581771.35</v>
      </c>
      <c r="N70" s="11">
        <v>2015.0</v>
      </c>
      <c r="O70" s="21">
        <v>2.36</v>
      </c>
    </row>
    <row r="71" ht="14.25" customHeight="1">
      <c r="A71" s="13">
        <v>2013.0</v>
      </c>
      <c r="B71" s="14">
        <v>290163.52</v>
      </c>
      <c r="E71" s="5">
        <v>2013.0</v>
      </c>
      <c r="F71" s="6">
        <v>909179.37</v>
      </c>
      <c r="H71" s="11">
        <v>2013.0</v>
      </c>
      <c r="I71" s="12">
        <v>617928.87</v>
      </c>
      <c r="N71" s="5">
        <v>2016.0</v>
      </c>
      <c r="O71" s="22">
        <v>2.43</v>
      </c>
    </row>
    <row r="72" ht="14.25" customHeight="1">
      <c r="A72" s="9">
        <v>2014.0</v>
      </c>
      <c r="B72" s="10">
        <v>226497.44</v>
      </c>
      <c r="E72" s="11">
        <v>2014.0</v>
      </c>
      <c r="F72" s="12">
        <v>870775.01</v>
      </c>
      <c r="H72" s="5">
        <v>2014.0</v>
      </c>
      <c r="I72" s="6">
        <v>642930.73</v>
      </c>
      <c r="N72" s="11">
        <v>2017.0</v>
      </c>
      <c r="O72" s="21">
        <v>2.39</v>
      </c>
    </row>
    <row r="73" ht="14.25" customHeight="1">
      <c r="A73" s="13">
        <v>2015.0</v>
      </c>
      <c r="B73" s="14">
        <v>75392.98</v>
      </c>
      <c r="E73" s="5">
        <v>2015.0</v>
      </c>
      <c r="F73" s="6">
        <v>749332.37</v>
      </c>
      <c r="H73" s="11">
        <v>2015.0</v>
      </c>
      <c r="I73" s="12">
        <v>670310.33</v>
      </c>
      <c r="N73" s="5">
        <v>2018.0</v>
      </c>
      <c r="O73" s="22">
        <v>2.34</v>
      </c>
    </row>
    <row r="74" ht="14.25" customHeight="1">
      <c r="A74" s="9">
        <v>2016.0</v>
      </c>
      <c r="B74" s="10">
        <v>-22207.28</v>
      </c>
      <c r="E74" s="11">
        <v>2016.0</v>
      </c>
      <c r="F74" s="12">
        <v>658439.66</v>
      </c>
      <c r="H74" s="5">
        <v>2016.0</v>
      </c>
      <c r="I74" s="6">
        <v>675310.09</v>
      </c>
      <c r="N74" s="11">
        <v>2019.0</v>
      </c>
      <c r="O74" s="21">
        <v>2.32</v>
      </c>
    </row>
    <row r="75" ht="14.25" customHeight="1">
      <c r="A75" s="13">
        <v>2017.0</v>
      </c>
      <c r="B75" s="14">
        <v>-38060.41</v>
      </c>
      <c r="E75" s="5">
        <v>2017.0</v>
      </c>
      <c r="F75" s="6">
        <v>641601.01</v>
      </c>
      <c r="H75" s="11">
        <v>2017.0</v>
      </c>
      <c r="I75" s="12">
        <v>674190.96</v>
      </c>
    </row>
    <row r="76" ht="14.25" customHeight="1">
      <c r="A76" s="9">
        <v>2018.0</v>
      </c>
      <c r="B76" s="10">
        <v>-27790.46</v>
      </c>
      <c r="E76" s="11">
        <v>2018.0</v>
      </c>
      <c r="F76" s="12">
        <v>675168.03</v>
      </c>
      <c r="H76" s="5">
        <v>2018.0</v>
      </c>
      <c r="I76" s="6">
        <v>697465.78</v>
      </c>
    </row>
    <row r="77" ht="14.25" customHeight="1">
      <c r="A77" s="13">
        <v>2019.0</v>
      </c>
      <c r="B77" s="14">
        <v>16144.93</v>
      </c>
      <c r="E77" s="5">
        <v>2019.0</v>
      </c>
      <c r="F77" s="6">
        <v>702350.75</v>
      </c>
      <c r="H77" s="11">
        <v>2019.0</v>
      </c>
      <c r="I77" s="12">
        <v>683986.23</v>
      </c>
    </row>
    <row r="78" ht="14.25" customHeight="1">
      <c r="A78" s="9">
        <v>2020.0</v>
      </c>
      <c r="B78" s="10">
        <v>-16430.55</v>
      </c>
      <c r="E78" s="11">
        <v>2020.0</v>
      </c>
      <c r="F78" s="12">
        <v>690080.95</v>
      </c>
      <c r="H78" s="5">
        <v>2020.0</v>
      </c>
      <c r="I78" s="6">
        <v>706694.89</v>
      </c>
    </row>
    <row r="79" ht="14.25" customHeight="1">
      <c r="A79" s="23">
        <v>2021.0</v>
      </c>
      <c r="B79" s="24">
        <v>70509.19</v>
      </c>
      <c r="E79" s="5">
        <v>2021.0</v>
      </c>
      <c r="F79" s="6">
        <v>779150.52</v>
      </c>
      <c r="H79" s="11">
        <v>2021.0</v>
      </c>
      <c r="I79" s="12">
        <v>710008.88</v>
      </c>
    </row>
    <row r="80" ht="14.25" customHeight="1">
      <c r="A80" s="17" t="s">
        <v>13</v>
      </c>
      <c r="B80" s="18"/>
    </row>
    <row r="81" ht="14.25" customHeight="1">
      <c r="A81" s="25"/>
      <c r="E81" s="2" t="s">
        <v>17</v>
      </c>
    </row>
    <row r="82" ht="14.25" customHeight="1">
      <c r="E82" s="11">
        <v>1999.0</v>
      </c>
      <c r="F82" s="12">
        <v>7032973.13</v>
      </c>
      <c r="H82" s="2">
        <f t="shared" ref="H82:H104" si="5">F57/F82</f>
        <v>0.06601292958</v>
      </c>
      <c r="K82" s="2">
        <f t="shared" ref="K82:K104" si="6">I57/F82</f>
        <v>0.04639926728</v>
      </c>
      <c r="L82" s="2">
        <f>AVERAGE(K82:K104)</f>
        <v>0.05800048261</v>
      </c>
    </row>
    <row r="83" ht="14.25" customHeight="1">
      <c r="E83" s="5">
        <v>2000.0</v>
      </c>
      <c r="F83" s="6">
        <v>7196767.46</v>
      </c>
      <c r="H83" s="2">
        <f t="shared" si="5"/>
        <v>0.06761552776</v>
      </c>
      <c r="K83" s="2">
        <f t="shared" si="6"/>
        <v>0.04662435071</v>
      </c>
      <c r="L83" s="2">
        <f>average(K84:K104)</f>
        <v>0.059094642</v>
      </c>
    </row>
    <row r="84" ht="14.25" customHeight="1">
      <c r="E84" s="11">
        <v>2001.0</v>
      </c>
      <c r="F84" s="12">
        <v>7351681.92</v>
      </c>
      <c r="H84" s="2">
        <f t="shared" si="5"/>
        <v>0.0670541769</v>
      </c>
      <c r="K84" s="2">
        <f t="shared" si="6"/>
        <v>0.04793643738</v>
      </c>
    </row>
    <row r="85" ht="14.25" customHeight="1">
      <c r="E85" s="5">
        <v>2002.0</v>
      </c>
      <c r="F85" s="6">
        <v>7482108.4</v>
      </c>
      <c r="H85" s="2">
        <f t="shared" si="5"/>
        <v>0.06493406858</v>
      </c>
      <c r="K85" s="2">
        <f t="shared" si="6"/>
        <v>0.04928538191</v>
      </c>
    </row>
    <row r="86" ht="14.25" customHeight="1">
      <c r="E86" s="11">
        <v>2003.0</v>
      </c>
      <c r="F86" s="12">
        <v>7580342.06</v>
      </c>
      <c r="H86" s="2">
        <f t="shared" si="5"/>
        <v>0.06153881003</v>
      </c>
      <c r="K86" s="2">
        <f t="shared" si="6"/>
        <v>0.04999489957</v>
      </c>
    </row>
    <row r="87" ht="14.25" customHeight="1">
      <c r="E87" s="5">
        <v>2004.0</v>
      </c>
      <c r="F87" s="6">
        <v>7710203.27</v>
      </c>
      <c r="H87" s="2">
        <f t="shared" si="5"/>
        <v>0.06563713592</v>
      </c>
      <c r="K87" s="2">
        <f t="shared" si="6"/>
        <v>0.05000047165</v>
      </c>
    </row>
    <row r="88" ht="14.25" customHeight="1">
      <c r="E88" s="11">
        <v>2005.0</v>
      </c>
      <c r="F88" s="12">
        <v>7831047.33</v>
      </c>
      <c r="H88" s="2">
        <f t="shared" si="5"/>
        <v>0.06588850868</v>
      </c>
      <c r="K88" s="2">
        <f t="shared" si="6"/>
        <v>0.05136081715</v>
      </c>
    </row>
    <row r="89" ht="14.25" customHeight="1">
      <c r="E89" s="5">
        <v>2006.0</v>
      </c>
      <c r="F89" s="6">
        <v>7972832.55</v>
      </c>
      <c r="H89" s="2">
        <f t="shared" si="5"/>
        <v>0.06902742489</v>
      </c>
      <c r="K89" s="2">
        <f t="shared" si="6"/>
        <v>0.05206500167</v>
      </c>
    </row>
    <row r="90" ht="14.25" customHeight="1">
      <c r="E90" s="11">
        <v>2007.0</v>
      </c>
      <c r="F90" s="12">
        <v>8170350.82</v>
      </c>
      <c r="H90" s="2">
        <f t="shared" si="5"/>
        <v>0.07540967133</v>
      </c>
      <c r="K90" s="2">
        <f t="shared" si="6"/>
        <v>0.05178836862</v>
      </c>
    </row>
    <row r="91" ht="14.25" customHeight="1">
      <c r="E91" s="5">
        <v>2008.0</v>
      </c>
      <c r="F91" s="6">
        <v>8420072.51</v>
      </c>
      <c r="H91" s="2">
        <f t="shared" si="5"/>
        <v>0.08216393614</v>
      </c>
      <c r="K91" s="2">
        <f t="shared" si="6"/>
        <v>0.05243957335</v>
      </c>
    </row>
    <row r="92" ht="14.25" customHeight="1">
      <c r="E92" s="11">
        <v>2009.0</v>
      </c>
      <c r="F92" s="12">
        <v>8628763.46</v>
      </c>
      <c r="H92" s="2">
        <f t="shared" si="5"/>
        <v>0.07846588948</v>
      </c>
      <c r="K92" s="2">
        <f t="shared" si="6"/>
        <v>0.05458457196</v>
      </c>
    </row>
    <row r="93" ht="14.25" customHeight="1">
      <c r="E93" s="5">
        <v>2010.0</v>
      </c>
      <c r="F93" s="6">
        <v>8930319.08</v>
      </c>
      <c r="H93" s="2">
        <f t="shared" si="5"/>
        <v>0.08935246242</v>
      </c>
      <c r="K93" s="2">
        <f t="shared" si="6"/>
        <v>0.05558484255</v>
      </c>
    </row>
    <row r="94" ht="14.25" customHeight="1">
      <c r="E94" s="11">
        <v>2011.0</v>
      </c>
      <c r="F94" s="12">
        <v>9240251.7</v>
      </c>
      <c r="H94" s="2">
        <f t="shared" si="5"/>
        <v>0.0922570107</v>
      </c>
      <c r="K94" s="2">
        <f t="shared" si="6"/>
        <v>0.05871543304</v>
      </c>
    </row>
    <row r="95" ht="14.25" customHeight="1">
      <c r="E95" s="5">
        <v>2012.0</v>
      </c>
      <c r="F95" s="6">
        <v>9516417.62</v>
      </c>
      <c r="H95" s="2">
        <f t="shared" si="5"/>
        <v>0.09027734325</v>
      </c>
      <c r="K95" s="2">
        <f t="shared" si="6"/>
        <v>0.06113344046</v>
      </c>
    </row>
    <row r="96" ht="14.25" customHeight="1">
      <c r="E96" s="11">
        <v>2013.0</v>
      </c>
      <c r="F96" s="12">
        <v>9806581.15</v>
      </c>
      <c r="H96" s="2">
        <f t="shared" si="5"/>
        <v>0.09271114531</v>
      </c>
      <c r="K96" s="2">
        <f t="shared" si="6"/>
        <v>0.06301165111</v>
      </c>
    </row>
    <row r="97" ht="14.25" customHeight="1">
      <c r="E97" s="5">
        <v>2014.0</v>
      </c>
      <c r="F97" s="6">
        <v>1.003307858E7</v>
      </c>
      <c r="H97" s="2">
        <f t="shared" si="5"/>
        <v>0.08679041065</v>
      </c>
      <c r="K97" s="2">
        <f t="shared" si="6"/>
        <v>0.06408110181</v>
      </c>
    </row>
    <row r="98" ht="14.25" customHeight="1">
      <c r="E98" s="11">
        <v>2015.0</v>
      </c>
      <c r="F98" s="12">
        <v>1.010847156E7</v>
      </c>
      <c r="H98" s="2">
        <f t="shared" si="5"/>
        <v>0.07412914658</v>
      </c>
      <c r="K98" s="2">
        <f t="shared" si="6"/>
        <v>0.06631173922</v>
      </c>
    </row>
    <row r="99" ht="14.25" customHeight="1">
      <c r="E99" s="5">
        <v>2016.0</v>
      </c>
      <c r="F99" s="6">
        <v>1.008626428E7</v>
      </c>
      <c r="H99" s="2">
        <f t="shared" si="5"/>
        <v>0.06528082566</v>
      </c>
      <c r="K99" s="2">
        <f t="shared" si="6"/>
        <v>0.06695343997</v>
      </c>
    </row>
    <row r="100" ht="14.25" customHeight="1">
      <c r="E100" s="11">
        <v>2017.0</v>
      </c>
      <c r="F100" s="12">
        <v>1.004820388E7</v>
      </c>
      <c r="H100" s="2">
        <f t="shared" si="5"/>
        <v>0.0638523081</v>
      </c>
      <c r="K100" s="2">
        <f t="shared" si="6"/>
        <v>0.06709566884</v>
      </c>
    </row>
    <row r="101" ht="14.25" customHeight="1">
      <c r="E101" s="5">
        <v>2018.0</v>
      </c>
      <c r="F101" s="6">
        <v>1.002041341E7</v>
      </c>
      <c r="H101" s="2">
        <f t="shared" si="5"/>
        <v>0.06737925896</v>
      </c>
      <c r="K101" s="2">
        <f t="shared" si="6"/>
        <v>0.0696044915</v>
      </c>
    </row>
    <row r="102" ht="14.25" customHeight="1">
      <c r="E102" s="11">
        <v>2019.0</v>
      </c>
      <c r="F102" s="12">
        <v>1.003655835E7</v>
      </c>
      <c r="H102" s="2">
        <f t="shared" si="5"/>
        <v>0.06997924244</v>
      </c>
      <c r="K102" s="2">
        <f t="shared" si="6"/>
        <v>0.06814947975</v>
      </c>
    </row>
    <row r="103" ht="14.25" customHeight="1">
      <c r="E103" s="5">
        <v>2020.0</v>
      </c>
      <c r="F103" s="6">
        <v>1.002012779E7</v>
      </c>
      <c r="H103" s="2">
        <f t="shared" si="5"/>
        <v>0.06886947597</v>
      </c>
      <c r="K103" s="2">
        <f t="shared" si="6"/>
        <v>0.07052753266</v>
      </c>
    </row>
    <row r="104" ht="14.25" customHeight="1">
      <c r="E104" s="11">
        <v>2021.0</v>
      </c>
      <c r="F104" s="12">
        <v>1.009063698E7</v>
      </c>
      <c r="H104" s="2">
        <f t="shared" si="5"/>
        <v>0.07721519678</v>
      </c>
      <c r="K104" s="2">
        <f t="shared" si="6"/>
        <v>0.07036313777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K36:L36"/>
    <mergeCell ref="A80:B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2025-06-18T18:39:19Z</dcterms:created>
  <dc:creator>lucinaldo</dc:creator>
</cp:coreProperties>
</file>